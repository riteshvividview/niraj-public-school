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DE895F-69B6-4224-A8B7-645BACFF97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PS Bundling Price for Parents 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4" l="1"/>
  <c r="H23" i="4"/>
  <c r="D23" i="4"/>
  <c r="C23" i="4"/>
  <c r="E22" i="4"/>
  <c r="J21" i="4"/>
  <c r="E21" i="4"/>
  <c r="J20" i="4"/>
  <c r="E20" i="4"/>
  <c r="J19" i="4"/>
  <c r="E19" i="4"/>
  <c r="J18" i="4"/>
  <c r="E18" i="4"/>
  <c r="J17" i="4"/>
  <c r="E17" i="4"/>
  <c r="J16" i="4"/>
  <c r="E16" i="4"/>
  <c r="J15" i="4"/>
  <c r="E15" i="4"/>
  <c r="J14" i="4"/>
  <c r="E14" i="4"/>
  <c r="I12" i="4"/>
  <c r="H12" i="4"/>
  <c r="D12" i="4"/>
  <c r="C12" i="4"/>
  <c r="E11" i="4"/>
  <c r="J10" i="4"/>
  <c r="E10" i="4"/>
  <c r="J9" i="4"/>
  <c r="E9" i="4"/>
  <c r="J8" i="4"/>
  <c r="E8" i="4"/>
  <c r="J7" i="4"/>
  <c r="E7" i="4"/>
  <c r="J6" i="4"/>
  <c r="E6" i="4"/>
  <c r="J5" i="4"/>
  <c r="E5" i="4"/>
  <c r="J4" i="4"/>
  <c r="E4" i="4"/>
  <c r="J3" i="4"/>
  <c r="E3" i="4"/>
  <c r="J23" i="4" l="1"/>
  <c r="E12" i="4"/>
  <c r="E23" i="4"/>
  <c r="J12" i="4"/>
</calcChain>
</file>

<file path=xl/sharedStrings.xml><?xml version="1.0" encoding="utf-8"?>
<sst xmlns="http://schemas.openxmlformats.org/spreadsheetml/2006/main" count="68" uniqueCount="32">
  <si>
    <t>Group</t>
  </si>
  <si>
    <t>Product Name</t>
  </si>
  <si>
    <t>Fixed Pcs</t>
  </si>
  <si>
    <t>Total</t>
  </si>
  <si>
    <t>NIR Uni Insert Belt - Grn/Blk</t>
  </si>
  <si>
    <t>NIR Uni V Slate Tee - 4 Colors</t>
  </si>
  <si>
    <t>RAP Uni SD Knit In Shorts - Black</t>
  </si>
  <si>
    <t>NIR Uni Placket Trim Shirt - Sky</t>
  </si>
  <si>
    <t>RAP Girls 3 Pleat KE Skirt - Hunter</t>
  </si>
  <si>
    <t>RAP Girls Cycling Shorts - Black</t>
  </si>
  <si>
    <t>RAP Boys KE Cargo Shorts - Hunter</t>
  </si>
  <si>
    <t>NIR Uni Side Trim Shirt - White</t>
  </si>
  <si>
    <t>RAP Uni EW Cargo Pants - Hunter</t>
  </si>
  <si>
    <t>NIR Sr. Girls Waistcoat - Coffee/Hunter</t>
  </si>
  <si>
    <t xml:space="preserve">NIR Uni V Slate Tee - 4 Colors </t>
  </si>
  <si>
    <t>RAP Uni SD Piping Track - Black</t>
  </si>
  <si>
    <t>NPS Price Incl of Tax</t>
  </si>
  <si>
    <t>Girls - I to V</t>
  </si>
  <si>
    <t>Boys - I to V</t>
  </si>
  <si>
    <t>NIR Uni FS Puff Hoody - Camo</t>
  </si>
  <si>
    <t>Nps Total Amount</t>
  </si>
  <si>
    <t>NIR Regular Socks</t>
  </si>
  <si>
    <t>NIR Regualr Socks</t>
  </si>
  <si>
    <t>NIR Sports Socks</t>
  </si>
  <si>
    <t>Girls - VI to XI</t>
  </si>
  <si>
    <t>Boys - VI to XI</t>
  </si>
  <si>
    <t xml:space="preserve">Niraj Public Bundle Price Chart 26-27 </t>
  </si>
  <si>
    <t>NOTE :-</t>
  </si>
  <si>
    <t>Words Highlited with Red Colour are Optional Only for Existing Students</t>
  </si>
  <si>
    <t>For New Admissions Students there is no Optional they have to Purchase full set</t>
  </si>
  <si>
    <t>Note:-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</si>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</sst>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0" fillId="2" borderId="0" xfId="0" applyFill="1"/>
    <xf numFmtId="0" fontId="7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8CC7-CB07-47D3-87EF-6841F3381583}">
  <dimension ref="A1:J26"/>
  <sheetViews>
    <sheetView tabSelected="1" workbookViewId="0">
      <selection activeCell="N19" sqref="N19"/>
    </sheetView>
  </sheetViews>
  <sheetFormatPr defaultRowHeight="14.4" x14ac:dyDescent="0.3"/>
  <cols>
    <col min="2" max="2" width="30.88671875" customWidth="1"/>
    <col min="4" max="4" width="10.88671875" customWidth="1"/>
    <col min="5" max="5" width="12.6640625" customWidth="1"/>
    <col min="7" max="7" width="38.44140625" customWidth="1"/>
    <col min="9" max="9" width="13.5546875" customWidth="1"/>
    <col min="10" max="10" width="13" customWidth="1"/>
  </cols>
  <sheetData>
    <row r="1" spans="1:10" ht="22.5" customHeight="1" x14ac:dyDescent="0.3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0.399999999999999" x14ac:dyDescent="0.3">
      <c r="A2" s="10" t="s">
        <v>0</v>
      </c>
      <c r="B2" s="10" t="s">
        <v>1</v>
      </c>
      <c r="C2" s="10" t="s">
        <v>2</v>
      </c>
      <c r="D2" s="13" t="s">
        <v>16</v>
      </c>
      <c r="E2" s="12" t="s">
        <v>20</v>
      </c>
      <c r="F2" s="10" t="s">
        <v>0</v>
      </c>
      <c r="G2" s="10" t="s">
        <v>1</v>
      </c>
      <c r="H2" s="10" t="s">
        <v>2</v>
      </c>
      <c r="I2" s="11" t="s">
        <v>16</v>
      </c>
      <c r="J2" s="12" t="s">
        <v>20</v>
      </c>
    </row>
    <row r="3" spans="1:10" ht="15.6" x14ac:dyDescent="0.3">
      <c r="A3" s="18" t="s">
        <v>17</v>
      </c>
      <c r="B3" s="2" t="s">
        <v>7</v>
      </c>
      <c r="C3" s="2">
        <v>2</v>
      </c>
      <c r="D3" s="5">
        <v>550</v>
      </c>
      <c r="E3" s="7">
        <f t="shared" ref="E3:E11" si="0">SUM(D3*C3)</f>
        <v>1100</v>
      </c>
      <c r="F3" s="18" t="s">
        <v>18</v>
      </c>
      <c r="G3" s="2" t="s">
        <v>7</v>
      </c>
      <c r="H3" s="2">
        <v>2</v>
      </c>
      <c r="I3" s="9">
        <v>550</v>
      </c>
      <c r="J3" s="7">
        <f t="shared" ref="J3:J10" si="1">SUM(I3*H3)</f>
        <v>1100</v>
      </c>
    </row>
    <row r="4" spans="1:10" ht="15.6" x14ac:dyDescent="0.3">
      <c r="A4" s="19"/>
      <c r="B4" s="2" t="s">
        <v>8</v>
      </c>
      <c r="C4" s="2">
        <v>2</v>
      </c>
      <c r="D4" s="5">
        <v>690</v>
      </c>
      <c r="E4" s="7">
        <f t="shared" si="0"/>
        <v>1380</v>
      </c>
      <c r="F4" s="19"/>
      <c r="G4" s="2" t="s">
        <v>10</v>
      </c>
      <c r="H4" s="2">
        <v>2</v>
      </c>
      <c r="I4" s="9">
        <v>585</v>
      </c>
      <c r="J4" s="7">
        <f t="shared" si="1"/>
        <v>1170</v>
      </c>
    </row>
    <row r="5" spans="1:10" ht="15.6" x14ac:dyDescent="0.3">
      <c r="A5" s="19"/>
      <c r="B5" s="14" t="s">
        <v>9</v>
      </c>
      <c r="C5" s="1">
        <v>2</v>
      </c>
      <c r="D5" s="5">
        <v>225</v>
      </c>
      <c r="E5" s="7">
        <f t="shared" si="0"/>
        <v>450</v>
      </c>
      <c r="F5" s="19"/>
      <c r="G5" s="2" t="s">
        <v>5</v>
      </c>
      <c r="H5" s="2">
        <v>2</v>
      </c>
      <c r="I5" s="9">
        <v>540</v>
      </c>
      <c r="J5" s="7">
        <f t="shared" si="1"/>
        <v>1080</v>
      </c>
    </row>
    <row r="6" spans="1:10" ht="15.6" x14ac:dyDescent="0.3">
      <c r="A6" s="19"/>
      <c r="B6" s="2" t="s">
        <v>5</v>
      </c>
      <c r="C6" s="2">
        <v>2</v>
      </c>
      <c r="D6" s="5">
        <v>540</v>
      </c>
      <c r="E6" s="7">
        <f t="shared" si="0"/>
        <v>1080</v>
      </c>
      <c r="F6" s="19"/>
      <c r="G6" s="2" t="s">
        <v>6</v>
      </c>
      <c r="H6" s="2">
        <v>2</v>
      </c>
      <c r="I6" s="9">
        <v>525</v>
      </c>
      <c r="J6" s="7">
        <f t="shared" si="1"/>
        <v>1050</v>
      </c>
    </row>
    <row r="7" spans="1:10" ht="15.6" x14ac:dyDescent="0.3">
      <c r="A7" s="19"/>
      <c r="B7" s="2" t="s">
        <v>6</v>
      </c>
      <c r="C7" s="2">
        <v>2</v>
      </c>
      <c r="D7" s="5">
        <v>525</v>
      </c>
      <c r="E7" s="7">
        <f t="shared" si="0"/>
        <v>1050</v>
      </c>
      <c r="F7" s="19"/>
      <c r="G7" s="14" t="s">
        <v>19</v>
      </c>
      <c r="H7" s="2">
        <v>1</v>
      </c>
      <c r="I7" s="9">
        <v>1775</v>
      </c>
      <c r="J7" s="7">
        <f t="shared" si="1"/>
        <v>1775</v>
      </c>
    </row>
    <row r="8" spans="1:10" ht="15.6" x14ac:dyDescent="0.3">
      <c r="A8" s="19"/>
      <c r="B8" s="14" t="s">
        <v>19</v>
      </c>
      <c r="C8" s="2">
        <v>1</v>
      </c>
      <c r="D8" s="5">
        <v>1775</v>
      </c>
      <c r="E8" s="7">
        <f t="shared" si="0"/>
        <v>1775</v>
      </c>
      <c r="F8" s="19"/>
      <c r="G8" s="14" t="s">
        <v>4</v>
      </c>
      <c r="H8" s="2">
        <v>1</v>
      </c>
      <c r="I8" s="9">
        <v>240</v>
      </c>
      <c r="J8" s="7">
        <f t="shared" si="1"/>
        <v>240</v>
      </c>
    </row>
    <row r="9" spans="1:10" ht="15.6" x14ac:dyDescent="0.3">
      <c r="A9" s="19"/>
      <c r="B9" s="14" t="s">
        <v>4</v>
      </c>
      <c r="C9" s="2">
        <v>1</v>
      </c>
      <c r="D9" s="5">
        <v>240</v>
      </c>
      <c r="E9" s="7">
        <f t="shared" si="0"/>
        <v>240</v>
      </c>
      <c r="F9" s="19"/>
      <c r="G9" s="6" t="s">
        <v>21</v>
      </c>
      <c r="H9" s="6">
        <v>2</v>
      </c>
      <c r="I9" s="9">
        <v>100</v>
      </c>
      <c r="J9" s="7">
        <f t="shared" si="1"/>
        <v>200</v>
      </c>
    </row>
    <row r="10" spans="1:10" ht="15.6" x14ac:dyDescent="0.3">
      <c r="A10" s="19"/>
      <c r="B10" s="2" t="s">
        <v>22</v>
      </c>
      <c r="C10" s="2">
        <v>2</v>
      </c>
      <c r="D10" s="5">
        <v>100</v>
      </c>
      <c r="E10" s="7">
        <f t="shared" si="0"/>
        <v>200</v>
      </c>
      <c r="F10" s="19"/>
      <c r="G10" s="6" t="s">
        <v>23</v>
      </c>
      <c r="H10" s="6">
        <v>2</v>
      </c>
      <c r="I10" s="9">
        <v>100</v>
      </c>
      <c r="J10" s="7">
        <f t="shared" si="1"/>
        <v>200</v>
      </c>
    </row>
    <row r="11" spans="1:10" ht="15.6" x14ac:dyDescent="0.3">
      <c r="A11" s="20"/>
      <c r="B11" s="2" t="s">
        <v>23</v>
      </c>
      <c r="C11" s="2">
        <v>2</v>
      </c>
      <c r="D11" s="5">
        <v>100</v>
      </c>
      <c r="E11" s="7">
        <f t="shared" si="0"/>
        <v>200</v>
      </c>
      <c r="F11" s="20"/>
      <c r="G11" s="3"/>
      <c r="H11" s="3"/>
      <c r="I11" s="9"/>
      <c r="J11" s="7"/>
    </row>
    <row r="12" spans="1:10" ht="15.6" x14ac:dyDescent="0.3">
      <c r="A12" s="1"/>
      <c r="B12" s="1" t="s">
        <v>3</v>
      </c>
      <c r="C12" s="1">
        <f>SUM(C3:C11)</f>
        <v>16</v>
      </c>
      <c r="D12" s="4">
        <f>SUM(D3:D11)</f>
        <v>4745</v>
      </c>
      <c r="E12" s="8">
        <f>SUM(E3:E11)</f>
        <v>7475</v>
      </c>
      <c r="F12" s="1"/>
      <c r="G12" s="1" t="s">
        <v>3</v>
      </c>
      <c r="H12" s="1">
        <f>SUM(H3:H10)</f>
        <v>14</v>
      </c>
      <c r="I12" s="1">
        <f>SUM(I3:I10)</f>
        <v>4415</v>
      </c>
      <c r="J12" s="8">
        <f>SUM(J3:J10)</f>
        <v>6815</v>
      </c>
    </row>
    <row r="13" spans="1:10" ht="20.399999999999999" x14ac:dyDescent="0.3">
      <c r="A13" s="10" t="s">
        <v>0</v>
      </c>
      <c r="B13" s="10" t="s">
        <v>1</v>
      </c>
      <c r="C13" s="10" t="s">
        <v>2</v>
      </c>
      <c r="D13" s="13" t="s">
        <v>16</v>
      </c>
      <c r="E13" s="12" t="s">
        <v>20</v>
      </c>
      <c r="F13" s="10" t="s">
        <v>0</v>
      </c>
      <c r="G13" s="10" t="s">
        <v>1</v>
      </c>
      <c r="H13" s="10" t="s">
        <v>2</v>
      </c>
      <c r="I13" s="11" t="s">
        <v>16</v>
      </c>
      <c r="J13" s="12" t="s">
        <v>20</v>
      </c>
    </row>
    <row r="14" spans="1:10" ht="15.6" x14ac:dyDescent="0.3">
      <c r="A14" s="18" t="s">
        <v>24</v>
      </c>
      <c r="B14" s="2" t="s">
        <v>11</v>
      </c>
      <c r="C14" s="2">
        <v>2</v>
      </c>
      <c r="D14" s="5">
        <v>635</v>
      </c>
      <c r="E14" s="7">
        <f t="shared" ref="E14:E22" si="2">SUM(D14*C14)</f>
        <v>1270</v>
      </c>
      <c r="F14" s="18" t="s">
        <v>25</v>
      </c>
      <c r="G14" s="2" t="s">
        <v>11</v>
      </c>
      <c r="H14" s="2">
        <v>2</v>
      </c>
      <c r="I14" s="9">
        <v>635</v>
      </c>
      <c r="J14" s="7">
        <f t="shared" ref="J14:J21" si="3">SUM(I14*H14)</f>
        <v>1270</v>
      </c>
    </row>
    <row r="15" spans="1:10" ht="15.6" x14ac:dyDescent="0.3">
      <c r="A15" s="19"/>
      <c r="B15" s="2" t="s">
        <v>12</v>
      </c>
      <c r="C15" s="2">
        <v>2</v>
      </c>
      <c r="D15" s="5">
        <v>1075</v>
      </c>
      <c r="E15" s="7">
        <f t="shared" si="2"/>
        <v>2150</v>
      </c>
      <c r="F15" s="19"/>
      <c r="G15" s="2" t="s">
        <v>12</v>
      </c>
      <c r="H15" s="2">
        <v>2</v>
      </c>
      <c r="I15" s="9">
        <v>1075</v>
      </c>
      <c r="J15" s="7">
        <f t="shared" si="3"/>
        <v>2150</v>
      </c>
    </row>
    <row r="16" spans="1:10" ht="15.6" x14ac:dyDescent="0.3">
      <c r="A16" s="19"/>
      <c r="B16" s="2" t="s">
        <v>13</v>
      </c>
      <c r="C16" s="2">
        <v>1</v>
      </c>
      <c r="D16" s="5">
        <v>600</v>
      </c>
      <c r="E16" s="7">
        <f t="shared" si="2"/>
        <v>600</v>
      </c>
      <c r="F16" s="19"/>
      <c r="G16" s="2" t="s">
        <v>5</v>
      </c>
      <c r="H16" s="2">
        <v>2</v>
      </c>
      <c r="I16" s="9">
        <v>540</v>
      </c>
      <c r="J16" s="7">
        <f t="shared" si="3"/>
        <v>1080</v>
      </c>
    </row>
    <row r="17" spans="1:10" ht="15.6" x14ac:dyDescent="0.3">
      <c r="A17" s="19"/>
      <c r="B17" s="2" t="s">
        <v>14</v>
      </c>
      <c r="C17" s="2">
        <v>2</v>
      </c>
      <c r="D17" s="5">
        <v>540</v>
      </c>
      <c r="E17" s="7">
        <f t="shared" si="2"/>
        <v>1080</v>
      </c>
      <c r="F17" s="19"/>
      <c r="G17" s="2" t="s">
        <v>15</v>
      </c>
      <c r="H17" s="2">
        <v>2</v>
      </c>
      <c r="I17" s="9">
        <v>665</v>
      </c>
      <c r="J17" s="7">
        <f t="shared" si="3"/>
        <v>1330</v>
      </c>
    </row>
    <row r="18" spans="1:10" ht="15.6" x14ac:dyDescent="0.3">
      <c r="A18" s="19"/>
      <c r="B18" s="2" t="s">
        <v>15</v>
      </c>
      <c r="C18" s="2">
        <v>2</v>
      </c>
      <c r="D18" s="5">
        <v>665</v>
      </c>
      <c r="E18" s="7">
        <f t="shared" si="2"/>
        <v>1330</v>
      </c>
      <c r="F18" s="19"/>
      <c r="G18" s="14" t="s">
        <v>19</v>
      </c>
      <c r="H18" s="2">
        <v>1</v>
      </c>
      <c r="I18" s="9">
        <v>1775</v>
      </c>
      <c r="J18" s="7">
        <f t="shared" si="3"/>
        <v>1775</v>
      </c>
    </row>
    <row r="19" spans="1:10" ht="15.6" x14ac:dyDescent="0.3">
      <c r="A19" s="19"/>
      <c r="B19" s="14" t="s">
        <v>19</v>
      </c>
      <c r="C19" s="2">
        <v>1</v>
      </c>
      <c r="D19" s="5">
        <v>1775</v>
      </c>
      <c r="E19" s="7">
        <f t="shared" si="2"/>
        <v>1775</v>
      </c>
      <c r="F19" s="19"/>
      <c r="G19" s="14" t="s">
        <v>4</v>
      </c>
      <c r="H19" s="2">
        <v>1</v>
      </c>
      <c r="I19" s="9">
        <v>240</v>
      </c>
      <c r="J19" s="7">
        <f t="shared" si="3"/>
        <v>240</v>
      </c>
    </row>
    <row r="20" spans="1:10" ht="15.6" x14ac:dyDescent="0.3">
      <c r="A20" s="19"/>
      <c r="B20" s="14" t="s">
        <v>4</v>
      </c>
      <c r="C20" s="2">
        <v>1</v>
      </c>
      <c r="D20" s="5">
        <v>240</v>
      </c>
      <c r="E20" s="7">
        <f t="shared" si="2"/>
        <v>240</v>
      </c>
      <c r="F20" s="19"/>
      <c r="G20" s="6" t="s">
        <v>21</v>
      </c>
      <c r="H20" s="6">
        <v>2</v>
      </c>
      <c r="I20" s="9">
        <v>100</v>
      </c>
      <c r="J20" s="7">
        <f t="shared" si="3"/>
        <v>200</v>
      </c>
    </row>
    <row r="21" spans="1:10" ht="15.6" x14ac:dyDescent="0.3">
      <c r="A21" s="19"/>
      <c r="B21" s="2" t="s">
        <v>21</v>
      </c>
      <c r="C21" s="2">
        <v>2</v>
      </c>
      <c r="D21" s="5">
        <v>100</v>
      </c>
      <c r="E21" s="7">
        <f t="shared" si="2"/>
        <v>200</v>
      </c>
      <c r="F21" s="19"/>
      <c r="G21" s="6" t="s">
        <v>23</v>
      </c>
      <c r="H21" s="6">
        <v>2</v>
      </c>
      <c r="I21" s="9">
        <v>100</v>
      </c>
      <c r="J21" s="7">
        <f t="shared" si="3"/>
        <v>200</v>
      </c>
    </row>
    <row r="22" spans="1:10" ht="15.6" x14ac:dyDescent="0.3">
      <c r="A22" s="20"/>
      <c r="B22" s="2" t="s">
        <v>23</v>
      </c>
      <c r="C22" s="2">
        <v>2</v>
      </c>
      <c r="D22" s="5">
        <v>100</v>
      </c>
      <c r="E22" s="7">
        <f t="shared" si="2"/>
        <v>200</v>
      </c>
      <c r="F22" s="20"/>
      <c r="G22" s="6"/>
      <c r="H22" s="6"/>
      <c r="I22" s="9"/>
      <c r="J22" s="7"/>
    </row>
    <row r="23" spans="1:10" ht="15.6" x14ac:dyDescent="0.3">
      <c r="A23" s="1"/>
      <c r="B23" s="1" t="s">
        <v>3</v>
      </c>
      <c r="C23" s="1">
        <f>SUM(C14:C22)</f>
        <v>15</v>
      </c>
      <c r="D23" s="4">
        <f>SUM(D14:D22)</f>
        <v>5730</v>
      </c>
      <c r="E23" s="8">
        <f>SUM(E14:E22)</f>
        <v>8845</v>
      </c>
      <c r="F23" s="1"/>
      <c r="G23" s="1" t="s">
        <v>3</v>
      </c>
      <c r="H23" s="1">
        <f>SUM(H14:H21)</f>
        <v>14</v>
      </c>
      <c r="I23" s="1">
        <f>SUM(I14:I21)</f>
        <v>5130</v>
      </c>
      <c r="J23" s="8">
        <f>SUM(J14:J21)</f>
        <v>8245</v>
      </c>
    </row>
    <row r="25" spans="1:10" ht="18" x14ac:dyDescent="0.35">
      <c r="A25" s="15" t="s">
        <v>27</v>
      </c>
      <c r="B25" s="15" t="s">
        <v>28</v>
      </c>
      <c r="C25" s="15"/>
      <c r="D25" s="15"/>
      <c r="E25" s="16"/>
      <c r="F25" s="16"/>
      <c r="G25" s="16"/>
    </row>
    <row r="26" spans="1:10" ht="18" x14ac:dyDescent="0.35">
      <c r="A26" s="17" t="s">
        <v>30</v>
      </c>
      <c r="B26" s="17" t="s">
        <v>29</v>
      </c>
      <c r="J26" t="s">
        <v>31</v>
      </c>
    </row>
  </sheetData>
  <mergeCells count="5">
    <mergeCell ref="A14:A22"/>
    <mergeCell ref="F14:F22"/>
    <mergeCell ref="A1:J1"/>
    <mergeCell ref="A3:A11"/>
    <mergeCell ref="F3:F11"/>
  </mergeCells>
  <printOptions horizontalCentered="1" verticalCentered="1"/>
  <pageMargins left="0.59055118110236227" right="0" top="0" bottom="0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 Bundling Price for Parents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Reinvent1</dc:creator>
  <cp:lastModifiedBy>niraj ps</cp:lastModifiedBy>
  <cp:lastPrinted>2026-01-30T10:27:37Z</cp:lastPrinted>
  <dcterms:created xsi:type="dcterms:W3CDTF">2015-06-05T18:17:20Z</dcterms:created>
  <dcterms:modified xsi:type="dcterms:W3CDTF">2026-08-14T05:02:53Z</dcterms:modified>
</cp:coreProperties>
</file>